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730" codeName="{91B80F79-697F-C00D-A1F8-6C9A07846A5C}"/>
  <workbookPr filterPrivacy="1" codeName="ThisWorkbook" defaultThemeVersion="124226"/>
  <bookViews>
    <workbookView xWindow="240" yWindow="105" windowWidth="14805" windowHeight="8010" xr2:uid="{00000000-000D-0000-FFFF-FFFF00000000}"/>
  </bookViews>
  <sheets>
    <sheet name="Mã SauTruoc - Quay - TruocSau" sheetId="2" r:id="rId1"/>
  </sheets>
  <functionGroups builtInGroupCount="19"/>
  <calcPr calcId="171027"/>
</workbook>
</file>

<file path=xl/calcChain.xml><?xml version="1.0" encoding="utf-8"?>
<calcChain xmlns="http://schemas.openxmlformats.org/spreadsheetml/2006/main">
  <c r="AA12" i="2" l="1"/>
  <c r="Z12" i="2"/>
  <c r="AD48" i="2" l="1"/>
  <c r="AC48" i="2"/>
  <c r="AB48" i="2"/>
  <c r="AA48" i="2"/>
  <c r="Z48" i="2"/>
  <c r="G48" i="2"/>
  <c r="F48" i="2"/>
  <c r="E48" i="2"/>
  <c r="D48" i="2"/>
  <c r="C48" i="2"/>
  <c r="AD47" i="2"/>
  <c r="AC47" i="2"/>
  <c r="AB47" i="2"/>
  <c r="AA47" i="2"/>
  <c r="Z47" i="2"/>
  <c r="G47" i="2"/>
  <c r="F47" i="2"/>
  <c r="E47" i="2"/>
  <c r="D47" i="2"/>
  <c r="C47" i="2"/>
  <c r="AD46" i="2"/>
  <c r="AC46" i="2"/>
  <c r="AB46" i="2"/>
  <c r="AA46" i="2"/>
  <c r="Z46" i="2"/>
  <c r="G46" i="2"/>
  <c r="F46" i="2"/>
  <c r="E46" i="2"/>
  <c r="D46" i="2"/>
  <c r="C46" i="2"/>
  <c r="AD45" i="2"/>
  <c r="AC45" i="2"/>
  <c r="AB45" i="2"/>
  <c r="AA45" i="2"/>
  <c r="Z45" i="2"/>
  <c r="G45" i="2"/>
  <c r="F45" i="2"/>
  <c r="E45" i="2"/>
  <c r="D45" i="2"/>
  <c r="C45" i="2"/>
  <c r="AD44" i="2"/>
  <c r="AC44" i="2"/>
  <c r="AB44" i="2"/>
  <c r="AA44" i="2"/>
  <c r="Z44" i="2"/>
  <c r="G44" i="2"/>
  <c r="F44" i="2"/>
  <c r="E44" i="2"/>
  <c r="D44" i="2"/>
  <c r="C44" i="2"/>
  <c r="AD40" i="2"/>
  <c r="AC40" i="2"/>
  <c r="AB40" i="2"/>
  <c r="AA40" i="2"/>
  <c r="Z40" i="2"/>
  <c r="G40" i="2"/>
  <c r="F40" i="2"/>
  <c r="E40" i="2"/>
  <c r="D40" i="2"/>
  <c r="C40" i="2"/>
  <c r="AD39" i="2"/>
  <c r="AC39" i="2"/>
  <c r="AB39" i="2"/>
  <c r="AA39" i="2"/>
  <c r="Z39" i="2"/>
  <c r="G39" i="2"/>
  <c r="F39" i="2"/>
  <c r="E39" i="2"/>
  <c r="D39" i="2"/>
  <c r="C39" i="2"/>
  <c r="AD38" i="2"/>
  <c r="AC38" i="2"/>
  <c r="AB38" i="2"/>
  <c r="AA38" i="2"/>
  <c r="Z38" i="2"/>
  <c r="G38" i="2"/>
  <c r="F38" i="2"/>
  <c r="E38" i="2"/>
  <c r="D38" i="2"/>
  <c r="C38" i="2"/>
  <c r="AD37" i="2"/>
  <c r="AC37" i="2"/>
  <c r="AB37" i="2"/>
  <c r="AA37" i="2"/>
  <c r="Z37" i="2"/>
  <c r="G37" i="2"/>
  <c r="F37" i="2"/>
  <c r="E37" i="2"/>
  <c r="D37" i="2"/>
  <c r="C37" i="2"/>
  <c r="AD36" i="2"/>
  <c r="AC36" i="2"/>
  <c r="AB36" i="2"/>
  <c r="AA36" i="2"/>
  <c r="Z36" i="2"/>
  <c r="G36" i="2"/>
  <c r="F36" i="2"/>
  <c r="E36" i="2"/>
  <c r="D36" i="2"/>
  <c r="C36" i="2"/>
  <c r="AD32" i="2"/>
  <c r="AC32" i="2"/>
  <c r="AB32" i="2"/>
  <c r="AA32" i="2"/>
  <c r="Z32" i="2"/>
  <c r="G32" i="2"/>
  <c r="F32" i="2"/>
  <c r="E32" i="2"/>
  <c r="D32" i="2"/>
  <c r="C32" i="2"/>
  <c r="AD31" i="2"/>
  <c r="AC31" i="2"/>
  <c r="AB31" i="2"/>
  <c r="AA31" i="2"/>
  <c r="Z31" i="2"/>
  <c r="G31" i="2"/>
  <c r="F31" i="2"/>
  <c r="E31" i="2"/>
  <c r="D31" i="2"/>
  <c r="C31" i="2"/>
  <c r="AD30" i="2"/>
  <c r="AC30" i="2"/>
  <c r="AB30" i="2"/>
  <c r="AA30" i="2"/>
  <c r="Z30" i="2"/>
  <c r="G30" i="2"/>
  <c r="F30" i="2"/>
  <c r="E30" i="2"/>
  <c r="D30" i="2"/>
  <c r="C30" i="2"/>
  <c r="AD29" i="2"/>
  <c r="AC29" i="2"/>
  <c r="AB29" i="2"/>
  <c r="AA29" i="2"/>
  <c r="Z29" i="2"/>
  <c r="G29" i="2"/>
  <c r="F29" i="2"/>
  <c r="E29" i="2"/>
  <c r="D29" i="2"/>
  <c r="C29" i="2"/>
  <c r="AD28" i="2"/>
  <c r="AC28" i="2"/>
  <c r="AB28" i="2"/>
  <c r="AA28" i="2"/>
  <c r="Z28" i="2"/>
  <c r="G28" i="2"/>
  <c r="F28" i="2"/>
  <c r="E28" i="2"/>
  <c r="D28" i="2"/>
  <c r="C28" i="2"/>
  <c r="AD24" i="2"/>
  <c r="AC24" i="2"/>
  <c r="AB24" i="2"/>
  <c r="AA24" i="2"/>
  <c r="Z24" i="2"/>
  <c r="G24" i="2"/>
  <c r="F24" i="2"/>
  <c r="E24" i="2"/>
  <c r="D24" i="2"/>
  <c r="C24" i="2"/>
  <c r="AD23" i="2"/>
  <c r="AC23" i="2"/>
  <c r="AB23" i="2"/>
  <c r="AA23" i="2"/>
  <c r="Z23" i="2"/>
  <c r="G23" i="2"/>
  <c r="F23" i="2"/>
  <c r="E23" i="2"/>
  <c r="D23" i="2"/>
  <c r="C23" i="2"/>
  <c r="AD22" i="2"/>
  <c r="AC22" i="2"/>
  <c r="AB22" i="2"/>
  <c r="AA22" i="2"/>
  <c r="Z22" i="2"/>
  <c r="G22" i="2"/>
  <c r="F22" i="2"/>
  <c r="E22" i="2"/>
  <c r="D22" i="2"/>
  <c r="C22" i="2"/>
  <c r="AD21" i="2"/>
  <c r="AC21" i="2"/>
  <c r="AB21" i="2"/>
  <c r="AA21" i="2"/>
  <c r="Z21" i="2"/>
  <c r="G21" i="2"/>
  <c r="F21" i="2"/>
  <c r="E21" i="2"/>
  <c r="D21" i="2"/>
  <c r="C21" i="2"/>
  <c r="AD20" i="2"/>
  <c r="AC20" i="2"/>
  <c r="AB20" i="2"/>
  <c r="AA20" i="2"/>
  <c r="Z20" i="2"/>
  <c r="G20" i="2"/>
  <c r="F20" i="2"/>
  <c r="E20" i="2"/>
  <c r="D20" i="2"/>
  <c r="C20" i="2"/>
  <c r="AD16" i="2"/>
  <c r="AC16" i="2"/>
  <c r="AB16" i="2"/>
  <c r="AA16" i="2"/>
  <c r="Z16" i="2"/>
  <c r="G16" i="2"/>
  <c r="F16" i="2"/>
  <c r="E16" i="2"/>
  <c r="D16" i="2"/>
  <c r="C16" i="2"/>
  <c r="AD15" i="2"/>
  <c r="AC15" i="2"/>
  <c r="AB15" i="2"/>
  <c r="AA15" i="2"/>
  <c r="Z15" i="2"/>
  <c r="G15" i="2"/>
  <c r="F15" i="2"/>
  <c r="E15" i="2"/>
  <c r="D15" i="2"/>
  <c r="C15" i="2"/>
  <c r="AD14" i="2"/>
  <c r="AC14" i="2"/>
  <c r="AB14" i="2"/>
  <c r="AA14" i="2"/>
  <c r="Z14" i="2"/>
  <c r="G14" i="2"/>
  <c r="F14" i="2"/>
  <c r="E14" i="2"/>
  <c r="D14" i="2"/>
  <c r="C14" i="2"/>
  <c r="AD13" i="2"/>
  <c r="AC13" i="2"/>
  <c r="AB13" i="2"/>
  <c r="AA13" i="2"/>
  <c r="Z13" i="2"/>
  <c r="G13" i="2"/>
  <c r="F13" i="2"/>
  <c r="E13" i="2"/>
  <c r="D13" i="2"/>
  <c r="C13" i="2"/>
  <c r="AD12" i="2"/>
  <c r="AC12" i="2"/>
  <c r="AB12" i="2"/>
  <c r="G12" i="2"/>
  <c r="F12" i="2"/>
  <c r="E12" i="2"/>
  <c r="D12" i="2"/>
  <c r="C12" i="2"/>
  <c r="K22" i="2"/>
  <c r="J22" i="2" l="1"/>
  <c r="J38" i="2"/>
  <c r="AG16" i="2"/>
  <c r="J29" i="2"/>
  <c r="J45" i="2"/>
  <c r="J23" i="2"/>
  <c r="J39" i="2"/>
  <c r="J21" i="2"/>
  <c r="J30" i="2"/>
  <c r="J37" i="2"/>
  <c r="J46" i="2"/>
  <c r="J31" i="2"/>
  <c r="J47" i="2"/>
  <c r="J15" i="2"/>
  <c r="J14" i="2"/>
  <c r="J13" i="2"/>
  <c r="K30" i="2"/>
  <c r="K31" i="2"/>
  <c r="K46" i="2"/>
  <c r="K21" i="2"/>
  <c r="K15" i="2"/>
  <c r="K39" i="2"/>
  <c r="K14" i="2"/>
  <c r="K37" i="2"/>
  <c r="K23" i="2"/>
  <c r="K38" i="2"/>
  <c r="K45" i="2"/>
  <c r="K29" i="2"/>
  <c r="K47" i="2"/>
  <c r="K13" i="2"/>
  <c r="I50" i="2" l="1"/>
  <c r="AG14" i="2"/>
  <c r="AG12" i="2"/>
  <c r="AG17" i="2"/>
  <c r="I18" i="2"/>
  <c r="I34" i="2"/>
  <c r="I42" i="2"/>
  <c r="I26" i="2"/>
</calcChain>
</file>

<file path=xl/sharedStrings.xml><?xml version="1.0" encoding="utf-8"?>
<sst xmlns="http://schemas.openxmlformats.org/spreadsheetml/2006/main" count="49" uniqueCount="28">
  <si>
    <t>DEC</t>
  </si>
  <si>
    <t>HEX</t>
  </si>
  <si>
    <t>Tầng 1</t>
  </si>
  <si>
    <t>IC DỊCH</t>
  </si>
  <si>
    <t>Tầng 2</t>
  </si>
  <si>
    <t>Tầng 3</t>
  </si>
  <si>
    <t>Tầng 4</t>
  </si>
  <si>
    <t>Tầng 5</t>
  </si>
  <si>
    <t>Mặt 1</t>
  </si>
  <si>
    <t>Mặt 2</t>
  </si>
  <si>
    <t>Mặt 3</t>
  </si>
  <si>
    <t>Mặt 4</t>
  </si>
  <si>
    <t>Mặt 5</t>
  </si>
  <si>
    <t>Trước sau</t>
  </si>
  <si>
    <t>Dưới lên</t>
  </si>
  <si>
    <t>Trái phải</t>
  </si>
  <si>
    <t>1 - IC1 - IC2 - IC3</t>
  </si>
  <si>
    <t>SauTruoc</t>
  </si>
  <si>
    <t>Quay</t>
  </si>
  <si>
    <t>TruocSau</t>
  </si>
  <si>
    <t>Dùng cho hiệu ứng SauTruoc</t>
  </si>
  <si>
    <t>Dùng cho hiệu ứng Quay</t>
  </si>
  <si>
    <t>Dùng cho hiệu ứng TruocSau</t>
  </si>
  <si>
    <t>XÂY DỰNG BẢNG MÃ CHO LED CUBE 5x5x5</t>
  </si>
  <si>
    <t>Tính theo IC1 từ tầng 1 -&gt; 5</t>
  </si>
  <si>
    <t>Tính theo IC2 từ tầng 1 -&gt; 5</t>
  </si>
  <si>
    <t>Tính theo IC3 từ tầng 1 -&gt; 5</t>
  </si>
  <si>
    <t>Chỉ vẽ vào vùng này!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</si>
</sst>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TCVN 7284"/>
      <family val="2"/>
    </font>
    <font>
      <sz val="11"/>
      <name val="Calibri"/>
      <family val="2"/>
      <scheme val="minor"/>
    </font>
    <font>
      <sz val="11"/>
      <color rgb="FFFFFF00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0" borderId="0" xfId="0" applyBorder="1"/>
    <xf numFmtId="0" fontId="0" fillId="2" borderId="1" xfId="0" applyFill="1" applyBorder="1"/>
    <xf numFmtId="0" fontId="0" fillId="0" borderId="1" xfId="0" applyBorder="1" applyAlignment="1">
      <alignment horizontal="center"/>
    </xf>
    <xf numFmtId="0" fontId="0" fillId="3" borderId="1" xfId="0" applyFill="1" applyBorder="1"/>
    <xf numFmtId="0" fontId="0" fillId="5" borderId="1" xfId="0" applyFill="1" applyBorder="1"/>
    <xf numFmtId="0" fontId="1" fillId="4" borderId="1" xfId="0" applyFont="1" applyFill="1" applyBorder="1"/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/>
    <xf numFmtId="0" fontId="1" fillId="4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3" fillId="5" borderId="1" xfId="0" applyFont="1" applyFill="1" applyBorder="1"/>
    <xf numFmtId="0" fontId="3" fillId="3" borderId="1" xfId="0" applyFont="1" applyFill="1" applyBorder="1"/>
    <xf numFmtId="0" fontId="3" fillId="2" borderId="1" xfId="0" applyFont="1" applyFill="1" applyBorder="1"/>
    <xf numFmtId="0" fontId="1" fillId="8" borderId="1" xfId="0" applyFont="1" applyFill="1" applyBorder="1"/>
    <xf numFmtId="0" fontId="1" fillId="8" borderId="0" xfId="0" applyFont="1" applyFill="1"/>
    <xf numFmtId="0" fontId="1" fillId="4" borderId="0" xfId="0" applyFont="1" applyFill="1"/>
    <xf numFmtId="0" fontId="0" fillId="3" borderId="0" xfId="0" applyFill="1"/>
    <xf numFmtId="0" fontId="0" fillId="2" borderId="0" xfId="0" applyFill="1"/>
    <xf numFmtId="0" fontId="0" fillId="7" borderId="0" xfId="0" applyFill="1"/>
    <xf numFmtId="0" fontId="0" fillId="0" borderId="0" xfId="0" applyBorder="1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5" borderId="2" xfId="0" applyFill="1" applyBorder="1"/>
    <xf numFmtId="0" fontId="0" fillId="0" borderId="6" xfId="0" applyBorder="1"/>
    <xf numFmtId="0" fontId="4" fillId="4" borderId="1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  <xf numFmtId="0" fontId="1" fillId="9" borderId="5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6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left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/>
    </xf>
  </cellXfs>
  <cellStyles count="1">
    <cellStyle name="Normal" xfId="0" builtinId="0"/>
  </cellStyles>
  <dxfs count="15"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BJ51"/>
  <sheetViews>
    <sheetView tabSelected="1" zoomScale="70" zoomScaleNormal="70" workbookViewId="0">
      <selection activeCell="J5" sqref="J5"/>
    </sheetView>
  </sheetViews>
  <sheetFormatPr defaultRowHeight="15"/>
  <cols>
    <col min="1" max="2" width="9.140625" customWidth="1"/>
    <col min="3" max="7" width="2.7109375" customWidth="1"/>
    <col min="8" max="8" width="4.85546875" customWidth="1"/>
    <col min="12" max="12" width="5.85546875" customWidth="1"/>
    <col min="13" max="13" width="5.7109375" customWidth="1"/>
    <col min="16" max="20" width="2.7109375" customWidth="1"/>
    <col min="22" max="23" width="10.5703125" customWidth="1"/>
    <col min="25" max="25" width="5.28515625" customWidth="1"/>
    <col min="26" max="30" width="2.7109375" customWidth="1"/>
    <col min="31" max="31" width="6.28515625" customWidth="1"/>
    <col min="32" max="32" width="10.42578125" customWidth="1"/>
  </cols>
  <sheetData>
    <row r="1" spans="1:62" ht="26.25">
      <c r="C1" s="39" t="s">
        <v>23</v>
      </c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</row>
    <row r="2" spans="1:62">
      <c r="B2" s="11"/>
      <c r="C2" s="10"/>
      <c r="K2" s="12"/>
      <c r="L2" s="12"/>
      <c r="M2" s="12"/>
    </row>
    <row r="3" spans="1:62">
      <c r="B3" s="11"/>
      <c r="K3" s="12"/>
      <c r="L3" s="12"/>
      <c r="M3" s="12"/>
    </row>
    <row r="4" spans="1:62">
      <c r="C4" s="6">
        <v>4</v>
      </c>
      <c r="D4" s="6">
        <v>3</v>
      </c>
      <c r="E4" s="6">
        <v>2</v>
      </c>
      <c r="F4" s="6">
        <v>1</v>
      </c>
      <c r="G4" s="6">
        <v>0</v>
      </c>
      <c r="K4" s="12"/>
      <c r="P4" s="18">
        <v>4</v>
      </c>
      <c r="Q4" s="18">
        <v>3</v>
      </c>
      <c r="R4" s="18">
        <v>2</v>
      </c>
      <c r="S4" s="18">
        <v>1</v>
      </c>
      <c r="T4" s="18">
        <v>0</v>
      </c>
      <c r="Z4" s="18">
        <v>4</v>
      </c>
      <c r="AA4" s="18">
        <v>3</v>
      </c>
      <c r="AB4" s="18">
        <v>2</v>
      </c>
      <c r="AC4" s="18">
        <v>1</v>
      </c>
      <c r="AD4" s="18">
        <v>0</v>
      </c>
    </row>
    <row r="5" spans="1:62">
      <c r="C5" s="6">
        <v>5</v>
      </c>
      <c r="D5" s="6">
        <v>6</v>
      </c>
      <c r="E5" s="6">
        <v>7</v>
      </c>
      <c r="F5" s="17">
        <v>0</v>
      </c>
      <c r="G5" s="17">
        <v>1</v>
      </c>
      <c r="P5" s="6">
        <v>4</v>
      </c>
      <c r="Q5" s="6">
        <v>3</v>
      </c>
      <c r="R5" s="6">
        <v>2</v>
      </c>
      <c r="S5" s="6">
        <v>1</v>
      </c>
      <c r="T5" s="6">
        <v>0</v>
      </c>
      <c r="Z5" s="6">
        <v>4</v>
      </c>
      <c r="AA5" s="6">
        <v>3</v>
      </c>
      <c r="AB5" s="6">
        <v>2</v>
      </c>
      <c r="AC5" s="6">
        <v>1</v>
      </c>
      <c r="AD5" s="6">
        <v>0</v>
      </c>
    </row>
    <row r="6" spans="1:62">
      <c r="A6" s="1"/>
      <c r="B6" s="1"/>
      <c r="C6" s="2">
        <v>6</v>
      </c>
      <c r="D6" s="2">
        <v>5</v>
      </c>
      <c r="E6" s="2">
        <v>4</v>
      </c>
      <c r="F6" s="2">
        <v>3</v>
      </c>
      <c r="G6" s="2">
        <v>2</v>
      </c>
      <c r="P6" s="17">
        <v>4</v>
      </c>
      <c r="Q6" s="17">
        <v>3</v>
      </c>
      <c r="R6" s="17">
        <v>2</v>
      </c>
      <c r="S6" s="17">
        <v>1</v>
      </c>
      <c r="T6" s="17">
        <v>0</v>
      </c>
      <c r="Z6" s="17">
        <v>4</v>
      </c>
      <c r="AA6" s="17">
        <v>3</v>
      </c>
      <c r="AB6" s="17">
        <v>2</v>
      </c>
      <c r="AC6" s="17">
        <v>1</v>
      </c>
      <c r="AD6" s="17">
        <v>0</v>
      </c>
    </row>
    <row r="7" spans="1:62">
      <c r="A7" s="1"/>
      <c r="B7" s="1"/>
      <c r="C7" s="2">
        <v>7</v>
      </c>
      <c r="D7" s="4">
        <v>0</v>
      </c>
      <c r="E7" s="4">
        <v>1</v>
      </c>
      <c r="F7" s="4">
        <v>2</v>
      </c>
      <c r="G7" s="4">
        <v>3</v>
      </c>
      <c r="P7" s="16">
        <v>4</v>
      </c>
      <c r="Q7" s="16">
        <v>3</v>
      </c>
      <c r="R7" s="16">
        <v>2</v>
      </c>
      <c r="S7" s="16">
        <v>1</v>
      </c>
      <c r="T7" s="16">
        <v>0</v>
      </c>
      <c r="Z7" s="16">
        <v>4</v>
      </c>
      <c r="AA7" s="16">
        <v>3</v>
      </c>
      <c r="AB7" s="16">
        <v>2</v>
      </c>
      <c r="AC7" s="16">
        <v>1</v>
      </c>
      <c r="AD7" s="16">
        <v>0</v>
      </c>
    </row>
    <row r="8" spans="1:62">
      <c r="A8" s="1"/>
      <c r="B8" s="1"/>
      <c r="C8" s="4">
        <v>4</v>
      </c>
      <c r="D8" s="4">
        <v>5</v>
      </c>
      <c r="E8" s="4">
        <v>6</v>
      </c>
      <c r="F8" s="4">
        <v>7</v>
      </c>
      <c r="G8" s="5">
        <v>0</v>
      </c>
      <c r="P8" s="15">
        <v>4</v>
      </c>
      <c r="Q8" s="15">
        <v>3</v>
      </c>
      <c r="R8" s="15">
        <v>2</v>
      </c>
      <c r="S8" s="15">
        <v>1</v>
      </c>
      <c r="T8" s="15">
        <v>0</v>
      </c>
      <c r="Z8" s="15">
        <v>4</v>
      </c>
      <c r="AA8" s="15">
        <v>3</v>
      </c>
      <c r="AB8" s="15">
        <v>2</v>
      </c>
      <c r="AC8" s="15">
        <v>1</v>
      </c>
      <c r="AD8" s="15">
        <v>0</v>
      </c>
    </row>
    <row r="10" spans="1:62">
      <c r="A10" t="s">
        <v>14</v>
      </c>
      <c r="N10" t="s">
        <v>13</v>
      </c>
      <c r="X10" t="s">
        <v>15</v>
      </c>
    </row>
    <row r="11" spans="1:62">
      <c r="O11" s="23"/>
      <c r="P11" s="23"/>
      <c r="Q11" s="23"/>
      <c r="R11" s="23"/>
      <c r="S11" s="23"/>
      <c r="T11" s="23"/>
      <c r="U11" s="23"/>
    </row>
    <row r="12" spans="1:62">
      <c r="A12" s="19" t="s">
        <v>7</v>
      </c>
      <c r="C12" s="6">
        <f>P12</f>
        <v>0</v>
      </c>
      <c r="D12" s="6">
        <f>Q12</f>
        <v>0</v>
      </c>
      <c r="E12" s="6">
        <f>R12</f>
        <v>0</v>
      </c>
      <c r="F12" s="6">
        <f>S12</f>
        <v>0</v>
      </c>
      <c r="G12" s="6">
        <f>T12</f>
        <v>0</v>
      </c>
      <c r="I12" s="14" t="s">
        <v>3</v>
      </c>
      <c r="J12" s="14" t="s">
        <v>0</v>
      </c>
      <c r="K12" s="14" t="s">
        <v>1</v>
      </c>
      <c r="N12" t="s">
        <v>12</v>
      </c>
      <c r="O12" s="23"/>
      <c r="P12" s="5"/>
      <c r="Q12" s="5"/>
      <c r="R12" s="5"/>
      <c r="S12" s="5"/>
      <c r="T12" s="5"/>
      <c r="U12" s="23"/>
      <c r="V12" s="38" t="s">
        <v>20</v>
      </c>
      <c r="W12" s="30"/>
      <c r="X12" t="s">
        <v>12</v>
      </c>
      <c r="Z12" s="5">
        <f>T12</f>
        <v>0</v>
      </c>
      <c r="AA12" s="5">
        <f>T20</f>
        <v>0</v>
      </c>
      <c r="AB12" s="5">
        <f>T28</f>
        <v>0</v>
      </c>
      <c r="AC12" s="5">
        <f>T36</f>
        <v>0</v>
      </c>
      <c r="AD12" s="5">
        <f>T44</f>
        <v>0</v>
      </c>
      <c r="AF12" s="29" t="s">
        <v>17</v>
      </c>
      <c r="AG12" s="41" t="str">
        <f>"char ma[] = {" &amp; $K$45 &amp; ", " &amp; $K$37 &amp; ", " &amp; $K$29 &amp; ", " &amp; $K$21 &amp; ", " &amp; $K$13 &amp; "};"</f>
        <v>char ma[] = {0x00, 0x00, 0x00, 0x00, 0x00};</v>
      </c>
      <c r="AH12" s="41"/>
      <c r="AI12" s="41"/>
      <c r="AJ12" s="41"/>
      <c r="AK12" s="41"/>
      <c r="AL12" s="40" t="s">
        <v>26</v>
      </c>
      <c r="AM12" s="40"/>
      <c r="AN12" s="40"/>
    </row>
    <row r="13" spans="1:62" ht="15" customHeight="1">
      <c r="C13" s="6">
        <f>P20</f>
        <v>0</v>
      </c>
      <c r="D13" s="6">
        <f>Q20</f>
        <v>0</v>
      </c>
      <c r="E13" s="6">
        <f>R20</f>
        <v>0</v>
      </c>
      <c r="F13" s="17">
        <f>S20</f>
        <v>0</v>
      </c>
      <c r="G13" s="17">
        <f>T20</f>
        <v>0</v>
      </c>
      <c r="H13" s="1"/>
      <c r="I13" s="13">
        <v>3</v>
      </c>
      <c r="J13" s="9">
        <f>E13*2^$E$5 + D13*2^$D$5 + C13*2^$C$5 + C12*2^$C$4 + D12*2^$D$4 + E12*2^$E$4 + F12*2^$F$4 + G12*2^$G$4</f>
        <v>0</v>
      </c>
      <c r="K13" s="3" t="str">
        <f>"0x" &amp; IF(LEN(makehex(J13))=2,makehex(J13),"0" &amp; makehex(J13))</f>
        <v>0x00</v>
      </c>
      <c r="O13" s="23"/>
      <c r="P13" s="5"/>
      <c r="Q13" s="5"/>
      <c r="R13" s="5"/>
      <c r="S13" s="5"/>
      <c r="T13" s="5"/>
      <c r="U13" s="23"/>
      <c r="V13" s="38"/>
      <c r="W13" s="30"/>
      <c r="Z13" s="5">
        <f t="shared" ref="Z13:Z16" si="0">T13</f>
        <v>0</v>
      </c>
      <c r="AA13" s="5">
        <f>T21</f>
        <v>0</v>
      </c>
      <c r="AB13" s="5">
        <f>T29</f>
        <v>0</v>
      </c>
      <c r="AC13" s="5">
        <f t="shared" ref="AC13:AC16" si="1">T37</f>
        <v>0</v>
      </c>
      <c r="AD13" s="5">
        <f t="shared" ref="AD13:AD16" si="2">T45</f>
        <v>0</v>
      </c>
      <c r="BE13" s="25"/>
      <c r="BF13" s="25"/>
      <c r="BG13" s="25"/>
      <c r="BH13" s="25"/>
      <c r="BI13" s="25"/>
      <c r="BJ13" s="25"/>
    </row>
    <row r="14" spans="1:62">
      <c r="C14" s="2">
        <f>P28</f>
        <v>0</v>
      </c>
      <c r="D14" s="2">
        <f>Q28</f>
        <v>0</v>
      </c>
      <c r="E14" s="2">
        <f>R28</f>
        <v>0</v>
      </c>
      <c r="F14" s="2">
        <f>S28</f>
        <v>0</v>
      </c>
      <c r="G14" s="2">
        <f>T28</f>
        <v>0</v>
      </c>
      <c r="H14" s="1"/>
      <c r="I14" s="8">
        <v>2</v>
      </c>
      <c r="J14" s="8">
        <f>C15*2^$C$7 + C14*2^$C$6 + D14*2^$D$6 + E14*2^$E$6 + F14*2^$F$6 + G14*2^$G$6 + G13*2^$G$5 + F13*2^F5</f>
        <v>0</v>
      </c>
      <c r="K14" s="3" t="str">
        <f>"0x" &amp; IF(LEN(makehex(J14))=2,makehex(J14),"0" &amp; makehex(J14))</f>
        <v>0x00</v>
      </c>
      <c r="O14" s="23"/>
      <c r="P14" s="5"/>
      <c r="Q14" s="5"/>
      <c r="R14" s="5"/>
      <c r="S14" s="5"/>
      <c r="T14" s="5"/>
      <c r="U14" s="23"/>
      <c r="V14" s="38"/>
      <c r="W14" s="30"/>
      <c r="Z14" s="5">
        <f t="shared" si="0"/>
        <v>0</v>
      </c>
      <c r="AA14" s="5">
        <f>T22</f>
        <v>0</v>
      </c>
      <c r="AB14" s="5">
        <f>T30</f>
        <v>0</v>
      </c>
      <c r="AC14" s="5">
        <f t="shared" si="1"/>
        <v>0</v>
      </c>
      <c r="AD14" s="5">
        <f t="shared" si="2"/>
        <v>0</v>
      </c>
      <c r="AF14" s="29" t="s">
        <v>18</v>
      </c>
      <c r="AG14" s="41" t="str">
        <f>"char ma[] = {" &amp; $K$46 &amp; ", " &amp; $K$38 &amp; ", " &amp; $K$30 &amp; ", " &amp; $K$22 &amp; ", " &amp; $K$14 &amp; "};"</f>
        <v>char ma[] = {0x00, 0x00, 0x00, 0x00, 0x00};</v>
      </c>
      <c r="AH14" s="41"/>
      <c r="AI14" s="41"/>
      <c r="AJ14" s="41"/>
      <c r="AK14" s="41"/>
      <c r="AL14" s="40" t="s">
        <v>25</v>
      </c>
      <c r="AM14" s="40"/>
      <c r="AN14" s="40"/>
      <c r="BE14" s="26"/>
    </row>
    <row r="15" spans="1:62">
      <c r="C15" s="2">
        <f>P36</f>
        <v>0</v>
      </c>
      <c r="D15" s="4">
        <f>Q36</f>
        <v>0</v>
      </c>
      <c r="E15" s="4">
        <f>R36</f>
        <v>0</v>
      </c>
      <c r="F15" s="4">
        <f>S36</f>
        <v>0</v>
      </c>
      <c r="G15" s="4">
        <f>T36</f>
        <v>0</v>
      </c>
      <c r="H15" s="1"/>
      <c r="I15" s="7">
        <v>1</v>
      </c>
      <c r="J15" s="7">
        <f>F16*2^$F$8 + E16*2^$E$8 + D16*2^$D$8 + C16*2^$C$8 + G15*2^$G$7 + F15*2^$F$7 + E15*2^$E$7 + D15*2^$D$7</f>
        <v>0</v>
      </c>
      <c r="K15" s="3" t="str">
        <f>"0x" &amp; IF(LEN(makehex(J15))=2,makehex(J15),"0" &amp; makehex(J15))</f>
        <v>0x00</v>
      </c>
      <c r="O15" s="23"/>
      <c r="P15" s="5"/>
      <c r="Q15" s="5"/>
      <c r="R15" s="5"/>
      <c r="S15" s="5"/>
      <c r="T15" s="5"/>
      <c r="U15" s="23"/>
      <c r="V15" s="38"/>
      <c r="W15" s="30"/>
      <c r="Z15" s="5">
        <f t="shared" si="0"/>
        <v>0</v>
      </c>
      <c r="AA15" s="5">
        <f>T23</f>
        <v>0</v>
      </c>
      <c r="AB15" s="5">
        <f>T31</f>
        <v>0</v>
      </c>
      <c r="AC15" s="5">
        <f t="shared" si="1"/>
        <v>0</v>
      </c>
      <c r="AD15" s="5">
        <f t="shared" si="2"/>
        <v>0</v>
      </c>
      <c r="BE15" s="26"/>
    </row>
    <row r="16" spans="1:62">
      <c r="C16" s="4">
        <f>P44</f>
        <v>0</v>
      </c>
      <c r="D16" s="4">
        <f>Q44</f>
        <v>0</v>
      </c>
      <c r="E16" s="4">
        <f>R44</f>
        <v>0</v>
      </c>
      <c r="F16" s="4">
        <f>S44</f>
        <v>0</v>
      </c>
      <c r="G16" s="5">
        <f>T44</f>
        <v>0</v>
      </c>
      <c r="H16" s="1"/>
      <c r="O16" s="23"/>
      <c r="P16" s="27"/>
      <c r="Q16" s="27"/>
      <c r="R16" s="5"/>
      <c r="S16" s="5"/>
      <c r="T16" s="5"/>
      <c r="U16" s="23"/>
      <c r="V16" s="38"/>
      <c r="W16" s="30"/>
      <c r="Z16" s="5">
        <f t="shared" si="0"/>
        <v>0</v>
      </c>
      <c r="AA16" s="5">
        <f>T24</f>
        <v>0</v>
      </c>
      <c r="AB16" s="5">
        <f>T32</f>
        <v>0</v>
      </c>
      <c r="AC16" s="5">
        <f t="shared" si="1"/>
        <v>0</v>
      </c>
      <c r="AD16" s="5">
        <f t="shared" si="2"/>
        <v>0</v>
      </c>
      <c r="AF16" s="42" t="s">
        <v>19</v>
      </c>
      <c r="AG16" s="41" t="str">
        <f>"char ma[] = {" &amp; $G$48 &amp; ", " &amp; $G$40 &amp; ", " &amp; $G$32 &amp; ", " &amp; $G$24 &amp; ", " &amp; $G$16 &amp; "};"</f>
        <v>char ma[] = {0, 0, 0, 0, 0};</v>
      </c>
      <c r="AH16" s="41"/>
      <c r="AI16" s="41"/>
      <c r="AJ16" s="41"/>
      <c r="AK16" s="41"/>
      <c r="BE16" s="26"/>
    </row>
    <row r="17" spans="1:57">
      <c r="I17" s="34" t="s">
        <v>16</v>
      </c>
      <c r="J17" s="35"/>
      <c r="K17" s="36"/>
      <c r="O17" s="23"/>
      <c r="P17" s="28"/>
      <c r="Q17" s="28"/>
      <c r="U17" s="23"/>
      <c r="AF17" s="43"/>
      <c r="AG17" s="41" t="str">
        <f>"char ma1[] = {" &amp; $K$47 &amp; ", " &amp; $K$39 &amp; ", " &amp; $K$31 &amp; ", " &amp; $K$23 &amp; ", " &amp; $K$15 &amp; "};"</f>
        <v>char ma1[] = {0x00, 0x00, 0x00, 0x00, 0x00};</v>
      </c>
      <c r="AH17" s="41"/>
      <c r="AI17" s="41"/>
      <c r="AJ17" s="41"/>
      <c r="AK17" s="41"/>
      <c r="AL17" s="40" t="s">
        <v>24</v>
      </c>
      <c r="AM17" s="40"/>
      <c r="AN17" s="40"/>
      <c r="BE17" s="26"/>
    </row>
    <row r="18" spans="1:57">
      <c r="I18" s="31" t="str">
        <f>G16 &amp; ", " &amp; K15 &amp; ", " &amp; K14 &amp; ", " &amp; K13</f>
        <v>0, 0x00, 0x00, 0x00</v>
      </c>
      <c r="J18" s="32"/>
      <c r="K18" s="33"/>
      <c r="O18" s="23"/>
      <c r="U18" s="23"/>
      <c r="AS18" s="26"/>
      <c r="AT18" s="26"/>
      <c r="AU18" s="26"/>
      <c r="AV18" s="26"/>
      <c r="AW18" s="26"/>
      <c r="AX18" s="26"/>
      <c r="AZ18" s="26"/>
      <c r="BA18" s="26"/>
      <c r="BB18" s="26"/>
      <c r="BC18" s="26"/>
      <c r="BD18" s="26"/>
      <c r="BE18" s="26"/>
    </row>
    <row r="19" spans="1:57">
      <c r="O19" s="23"/>
      <c r="S19" s="1"/>
      <c r="U19" s="23"/>
      <c r="AC19" s="1"/>
      <c r="AS19" s="26"/>
      <c r="AT19" s="26"/>
      <c r="AU19" s="26"/>
      <c r="AV19" s="26"/>
      <c r="AW19" s="26"/>
      <c r="AX19" s="26"/>
      <c r="AZ19" s="26"/>
      <c r="BA19" s="26"/>
      <c r="BB19" s="26"/>
      <c r="BC19" s="26"/>
      <c r="BD19" s="26"/>
      <c r="BE19" s="26"/>
    </row>
    <row r="20" spans="1:57">
      <c r="A20" s="20" t="s">
        <v>6</v>
      </c>
      <c r="C20" s="6">
        <f>P13</f>
        <v>0</v>
      </c>
      <c r="D20" s="6">
        <f>Q13</f>
        <v>0</v>
      </c>
      <c r="E20" s="6">
        <f>R13</f>
        <v>0</v>
      </c>
      <c r="F20" s="6">
        <f>S13</f>
        <v>0</v>
      </c>
      <c r="G20" s="6">
        <f>T13</f>
        <v>0</v>
      </c>
      <c r="I20" s="14" t="s">
        <v>3</v>
      </c>
      <c r="J20" s="14" t="s">
        <v>0</v>
      </c>
      <c r="K20" s="14" t="s">
        <v>1</v>
      </c>
      <c r="N20" t="s">
        <v>11</v>
      </c>
      <c r="O20" s="23"/>
      <c r="P20" s="5"/>
      <c r="Q20" s="5"/>
      <c r="R20" s="5"/>
      <c r="S20" s="5"/>
      <c r="T20" s="5"/>
      <c r="U20" s="23"/>
      <c r="X20" t="s">
        <v>11</v>
      </c>
      <c r="Z20" s="5">
        <f>S12</f>
        <v>0</v>
      </c>
      <c r="AA20" s="5">
        <f>S20</f>
        <v>0</v>
      </c>
      <c r="AB20" s="5">
        <f>S28</f>
        <v>0</v>
      </c>
      <c r="AC20" s="5">
        <f>S36</f>
        <v>0</v>
      </c>
      <c r="AD20" s="5">
        <f>S44</f>
        <v>0</v>
      </c>
      <c r="AS20" s="26"/>
      <c r="AT20" s="26"/>
      <c r="AU20" s="26"/>
      <c r="AV20" s="26"/>
      <c r="AW20" s="26"/>
      <c r="AX20" s="26"/>
      <c r="AZ20" s="26"/>
      <c r="BA20" s="26"/>
      <c r="BB20" s="26"/>
      <c r="BC20" s="26"/>
      <c r="BD20" s="26"/>
      <c r="BE20" s="26"/>
    </row>
    <row r="21" spans="1:57">
      <c r="C21" s="6">
        <f>P21</f>
        <v>0</v>
      </c>
      <c r="D21" s="6">
        <f>Q21</f>
        <v>0</v>
      </c>
      <c r="E21" s="6">
        <f>R21</f>
        <v>0</v>
      </c>
      <c r="F21" s="17">
        <f>S21</f>
        <v>0</v>
      </c>
      <c r="G21" s="17">
        <f>T21</f>
        <v>0</v>
      </c>
      <c r="H21" s="1"/>
      <c r="I21" s="13">
        <v>3</v>
      </c>
      <c r="J21" s="9">
        <f>E21*2^$E$5 + D21*2^$D$5 + C21*2^$C$5 + C20*2^$C$4 + D20*2^$D$4 + E20*2^$E$4 + F20*2^$F$4 + G20*2^$G$4</f>
        <v>0</v>
      </c>
      <c r="K21" s="3" t="str">
        <f>"0x" &amp; IF(LEN(makehex(J21))=2,makehex(J21),"0" &amp; makehex(J21))</f>
        <v>0x00</v>
      </c>
      <c r="O21" s="23"/>
      <c r="P21" s="5"/>
      <c r="Q21" s="5"/>
      <c r="R21" s="5"/>
      <c r="S21" s="5"/>
      <c r="T21" s="5"/>
      <c r="U21" s="23"/>
      <c r="Z21" s="5">
        <f>S13</f>
        <v>0</v>
      </c>
      <c r="AA21" s="5">
        <f>S21</f>
        <v>0</v>
      </c>
      <c r="AB21" s="5">
        <f>S29</f>
        <v>0</v>
      </c>
      <c r="AC21" s="5">
        <f t="shared" ref="AC21:AC23" si="3">S37</f>
        <v>0</v>
      </c>
      <c r="AD21" s="5">
        <f t="shared" ref="AD21:AD24" si="4">S45</f>
        <v>0</v>
      </c>
      <c r="BE21" s="26"/>
    </row>
    <row r="22" spans="1:57">
      <c r="C22" s="2">
        <f>P29</f>
        <v>0</v>
      </c>
      <c r="D22" s="2">
        <f>Q29</f>
        <v>0</v>
      </c>
      <c r="E22" s="2">
        <f>R29</f>
        <v>0</v>
      </c>
      <c r="F22" s="2">
        <f>S29</f>
        <v>0</v>
      </c>
      <c r="G22" s="2">
        <f>T29</f>
        <v>0</v>
      </c>
      <c r="H22" s="1"/>
      <c r="I22" s="8">
        <v>2</v>
      </c>
      <c r="J22" s="8">
        <f>C23*2^$C$7 + C22*2^$C$6 + D22*2^$D$6 + E22*2^$E$6 + F22*2^$F$6 + G22*2^$G$6 + G21*2^$G$5 + F21*2^F13</f>
        <v>0</v>
      </c>
      <c r="K22" s="3" t="str">
        <f>"0x" &amp; IF(LEN(makehex(J22))=2,makehex(J22),"0" &amp; makehex(J22))</f>
        <v>0x00</v>
      </c>
      <c r="O22" s="23"/>
      <c r="P22" s="5"/>
      <c r="Q22" s="5"/>
      <c r="R22" s="5"/>
      <c r="S22" s="5"/>
      <c r="T22" s="5"/>
      <c r="U22" s="23"/>
      <c r="Z22" s="5">
        <f>S14</f>
        <v>0</v>
      </c>
      <c r="AA22" s="5">
        <f>S22</f>
        <v>0</v>
      </c>
      <c r="AB22" s="5">
        <f>S30</f>
        <v>0</v>
      </c>
      <c r="AC22" s="5">
        <f t="shared" si="3"/>
        <v>0</v>
      </c>
      <c r="AD22" s="5">
        <f t="shared" si="4"/>
        <v>0</v>
      </c>
      <c r="BE22" s="26"/>
    </row>
    <row r="23" spans="1:57">
      <c r="C23" s="2">
        <f>P37</f>
        <v>0</v>
      </c>
      <c r="D23" s="4">
        <f>Q37</f>
        <v>0</v>
      </c>
      <c r="E23" s="4">
        <f>R37</f>
        <v>0</v>
      </c>
      <c r="F23" s="4">
        <f>S37</f>
        <v>0</v>
      </c>
      <c r="G23" s="4">
        <f>T37</f>
        <v>0</v>
      </c>
      <c r="H23" s="1"/>
      <c r="I23" s="7">
        <v>1</v>
      </c>
      <c r="J23" s="7">
        <f>F24*2^$F$8 + E24*2^$E$8 + D24*2^$D$8 + C24*2^$C$8 + G23*2^$G$7 + F23*2^$F$7 + E23*2^$E$7 + D23*2^$D$7</f>
        <v>0</v>
      </c>
      <c r="K23" s="3" t="str">
        <f>"0x" &amp; IF(LEN(makehex(J23))=2,makehex(J23),"0" &amp; makehex(J23))</f>
        <v>0x00</v>
      </c>
      <c r="O23" s="23"/>
      <c r="P23" s="5"/>
      <c r="Q23" s="5"/>
      <c r="R23" s="5"/>
      <c r="S23" s="5"/>
      <c r="T23" s="5"/>
      <c r="U23" s="23"/>
      <c r="Z23" s="5">
        <f>S15</f>
        <v>0</v>
      </c>
      <c r="AA23" s="5">
        <f>S23</f>
        <v>0</v>
      </c>
      <c r="AB23" s="5">
        <f>S31</f>
        <v>0</v>
      </c>
      <c r="AC23" s="5">
        <f t="shared" si="3"/>
        <v>0</v>
      </c>
      <c r="AD23" s="5">
        <f t="shared" si="4"/>
        <v>0</v>
      </c>
      <c r="BE23" s="26"/>
    </row>
    <row r="24" spans="1:57">
      <c r="C24" s="4">
        <f>P45</f>
        <v>0</v>
      </c>
      <c r="D24" s="4">
        <f>Q45</f>
        <v>0</v>
      </c>
      <c r="E24" s="4">
        <f>R45</f>
        <v>0</v>
      </c>
      <c r="F24" s="4">
        <f>S45</f>
        <v>0</v>
      </c>
      <c r="G24" s="5">
        <f>T45</f>
        <v>0</v>
      </c>
      <c r="H24" s="1"/>
      <c r="O24" s="23"/>
      <c r="P24" s="5"/>
      <c r="Q24" s="5"/>
      <c r="R24" s="5"/>
      <c r="S24" s="5"/>
      <c r="T24" s="5"/>
      <c r="U24" s="23"/>
      <c r="Z24" s="5">
        <f>S16</f>
        <v>0</v>
      </c>
      <c r="AA24" s="5">
        <f>S24</f>
        <v>0</v>
      </c>
      <c r="AB24" s="5">
        <f>S32</f>
        <v>0</v>
      </c>
      <c r="AC24" s="5">
        <f>S40</f>
        <v>0</v>
      </c>
      <c r="AD24" s="5">
        <f t="shared" si="4"/>
        <v>0</v>
      </c>
      <c r="BE24" s="26"/>
    </row>
    <row r="25" spans="1:57">
      <c r="H25" s="1"/>
      <c r="I25" s="34" t="s">
        <v>16</v>
      </c>
      <c r="J25" s="35"/>
      <c r="K25" s="36"/>
      <c r="L25" s="24"/>
      <c r="O25" s="23"/>
      <c r="U25" s="23"/>
      <c r="BE25" s="26"/>
    </row>
    <row r="26" spans="1:57">
      <c r="H26" s="1"/>
      <c r="I26" s="31" t="str">
        <f>G24 &amp; ", " &amp; K23 &amp; ", " &amp; K22 &amp; ", " &amp; K21</f>
        <v>0, 0x00, 0x00, 0x00</v>
      </c>
      <c r="J26" s="32"/>
      <c r="K26" s="33"/>
      <c r="L26" s="24"/>
      <c r="O26" s="23"/>
      <c r="U26" s="23"/>
      <c r="BE26" s="26"/>
    </row>
    <row r="27" spans="1:57">
      <c r="F27" s="1"/>
      <c r="O27" s="23"/>
      <c r="S27" s="1"/>
      <c r="U27" s="23"/>
      <c r="AC27" s="1"/>
      <c r="BE27" s="26"/>
    </row>
    <row r="28" spans="1:57">
      <c r="A28" s="22" t="s">
        <v>5</v>
      </c>
      <c r="C28" s="6">
        <f>P14</f>
        <v>0</v>
      </c>
      <c r="D28" s="6">
        <f>Q14</f>
        <v>0</v>
      </c>
      <c r="E28" s="6">
        <f>R14</f>
        <v>0</v>
      </c>
      <c r="F28" s="6">
        <f>S14</f>
        <v>0</v>
      </c>
      <c r="G28" s="6">
        <f>T14</f>
        <v>0</v>
      </c>
      <c r="I28" s="14" t="s">
        <v>3</v>
      </c>
      <c r="J28" s="14" t="s">
        <v>0</v>
      </c>
      <c r="K28" s="14" t="s">
        <v>1</v>
      </c>
      <c r="N28" t="s">
        <v>10</v>
      </c>
      <c r="O28" s="23"/>
      <c r="P28" s="5"/>
      <c r="Q28" s="5"/>
      <c r="R28" s="5"/>
      <c r="S28" s="5"/>
      <c r="T28" s="5"/>
      <c r="U28" s="23"/>
      <c r="V28" s="38" t="s">
        <v>21</v>
      </c>
      <c r="W28" s="30"/>
      <c r="X28" t="s">
        <v>10</v>
      </c>
      <c r="Z28" s="5">
        <f>R12</f>
        <v>0</v>
      </c>
      <c r="AA28" s="5">
        <f>R20</f>
        <v>0</v>
      </c>
      <c r="AB28" s="5">
        <f>R28</f>
        <v>0</v>
      </c>
      <c r="AC28" s="5">
        <f>R36</f>
        <v>0</v>
      </c>
      <c r="AD28" s="5">
        <f>R44</f>
        <v>0</v>
      </c>
      <c r="BE28" s="26"/>
    </row>
    <row r="29" spans="1:57">
      <c r="C29" s="6">
        <f>P22</f>
        <v>0</v>
      </c>
      <c r="D29" s="6">
        <f>Q22</f>
        <v>0</v>
      </c>
      <c r="E29" s="6">
        <f>R22</f>
        <v>0</v>
      </c>
      <c r="F29" s="17">
        <f>S22</f>
        <v>0</v>
      </c>
      <c r="G29" s="17">
        <f>T22</f>
        <v>0</v>
      </c>
      <c r="H29" s="1"/>
      <c r="I29" s="13">
        <v>3</v>
      </c>
      <c r="J29" s="9">
        <f>E29*2^$E$5 + D29*2^$D$5 + C29*2^$C$5 + C28*2^$C$4 + D28*2^$D$4 + E28*2^$E$4 + F28*2^$F$4 + G28*2^$G$4</f>
        <v>0</v>
      </c>
      <c r="K29" s="3" t="str">
        <f>"0x" &amp; IF(LEN(makehex(J29))=2,makehex(J29),"0" &amp; makehex(J29))</f>
        <v>0x00</v>
      </c>
      <c r="O29" s="23"/>
      <c r="P29" s="5"/>
      <c r="Q29" s="5"/>
      <c r="R29" s="5"/>
      <c r="S29" s="5"/>
      <c r="T29" s="5"/>
      <c r="U29" s="23"/>
      <c r="V29" s="38"/>
      <c r="W29" s="30"/>
      <c r="Z29" s="5">
        <f>R13</f>
        <v>0</v>
      </c>
      <c r="AA29" s="5">
        <f>R21</f>
        <v>0</v>
      </c>
      <c r="AB29" s="5">
        <f>R29</f>
        <v>0</v>
      </c>
      <c r="AC29" s="5">
        <f t="shared" ref="AC29:AC32" si="5">R37</f>
        <v>0</v>
      </c>
      <c r="AD29" s="5">
        <f t="shared" ref="AD29:AD32" si="6">R45</f>
        <v>0</v>
      </c>
      <c r="BE29" s="26"/>
    </row>
    <row r="30" spans="1:57">
      <c r="C30" s="2">
        <f>P30</f>
        <v>0</v>
      </c>
      <c r="D30" s="2">
        <f>Q30</f>
        <v>0</v>
      </c>
      <c r="E30" s="2">
        <f>R30</f>
        <v>0</v>
      </c>
      <c r="F30" s="2">
        <f>S30</f>
        <v>0</v>
      </c>
      <c r="G30" s="2">
        <f>T30</f>
        <v>0</v>
      </c>
      <c r="H30" s="1"/>
      <c r="I30" s="8">
        <v>2</v>
      </c>
      <c r="J30" s="8">
        <f>C31*2^$C$7 + C30*2^$C$6 + D30*2^$D$6 + E30*2^$E$6 + F30*2^$F$6 + G30*2^$G$6 + G29*2^$G$5 + F29*2^F21</f>
        <v>0</v>
      </c>
      <c r="K30" s="3" t="str">
        <f>"0x" &amp; IF(LEN(makehex(J30))=2,makehex(J30),"0" &amp; makehex(J30))</f>
        <v>0x00</v>
      </c>
      <c r="O30" s="23"/>
      <c r="P30" s="5"/>
      <c r="Q30" s="5"/>
      <c r="R30" s="5"/>
      <c r="S30" s="5"/>
      <c r="T30" s="5"/>
      <c r="U30" s="23"/>
      <c r="V30" s="38"/>
      <c r="W30" s="30"/>
      <c r="Z30" s="5">
        <f>R14</f>
        <v>0</v>
      </c>
      <c r="AA30" s="5">
        <f>R22</f>
        <v>0</v>
      </c>
      <c r="AB30" s="5">
        <f>R30</f>
        <v>0</v>
      </c>
      <c r="AC30" s="5">
        <f t="shared" si="5"/>
        <v>0</v>
      </c>
      <c r="AD30" s="5">
        <f t="shared" si="6"/>
        <v>0</v>
      </c>
      <c r="BE30" s="26"/>
    </row>
    <row r="31" spans="1:57">
      <c r="C31" s="2">
        <f>P38</f>
        <v>0</v>
      </c>
      <c r="D31" s="4">
        <f>Q38</f>
        <v>0</v>
      </c>
      <c r="E31" s="4">
        <f>R38</f>
        <v>0</v>
      </c>
      <c r="F31" s="4">
        <f>S38</f>
        <v>0</v>
      </c>
      <c r="G31" s="4">
        <f>T38</f>
        <v>0</v>
      </c>
      <c r="H31" s="1"/>
      <c r="I31" s="7">
        <v>1</v>
      </c>
      <c r="J31" s="7">
        <f>F32*2^$F$8 + E32*2^$E$8 + D32*2^$D$8 + C32*2^$C$8 + G31*2^$G$7 + F31*2^$F$7 + E31*2^$E$7 + D31*2^$D$7</f>
        <v>0</v>
      </c>
      <c r="K31" s="3" t="str">
        <f>"0x" &amp; IF(LEN(makehex(J31))=2,makehex(J31),"0" &amp; makehex(J31))</f>
        <v>0x00</v>
      </c>
      <c r="O31" s="23"/>
      <c r="P31" s="5"/>
      <c r="Q31" s="5"/>
      <c r="R31" s="5"/>
      <c r="S31" s="5"/>
      <c r="T31" s="5"/>
      <c r="U31" s="23"/>
      <c r="V31" s="38"/>
      <c r="W31" s="30"/>
      <c r="Z31" s="5">
        <f>R15</f>
        <v>0</v>
      </c>
      <c r="AA31" s="5">
        <f>R23</f>
        <v>0</v>
      </c>
      <c r="AB31" s="5">
        <f>R31</f>
        <v>0</v>
      </c>
      <c r="AC31" s="5">
        <f t="shared" si="5"/>
        <v>0</v>
      </c>
      <c r="AD31" s="5">
        <f t="shared" si="6"/>
        <v>0</v>
      </c>
      <c r="BE31" s="26"/>
    </row>
    <row r="32" spans="1:57">
      <c r="C32" s="4">
        <f>P46</f>
        <v>0</v>
      </c>
      <c r="D32" s="4">
        <f>Q46</f>
        <v>0</v>
      </c>
      <c r="E32" s="4">
        <f>R46</f>
        <v>0</v>
      </c>
      <c r="F32" s="4">
        <f>S46</f>
        <v>0</v>
      </c>
      <c r="G32" s="5">
        <f>T46</f>
        <v>0</v>
      </c>
      <c r="H32" s="1"/>
      <c r="O32" s="23"/>
      <c r="P32" s="5"/>
      <c r="Q32" s="5"/>
      <c r="R32" s="5"/>
      <c r="S32" s="5"/>
      <c r="T32" s="5"/>
      <c r="U32" s="23"/>
      <c r="V32" s="38"/>
      <c r="W32" s="30"/>
      <c r="Z32" s="5">
        <f>R16</f>
        <v>0</v>
      </c>
      <c r="AA32" s="5">
        <f>R24</f>
        <v>0</v>
      </c>
      <c r="AB32" s="5">
        <f>R32</f>
        <v>0</v>
      </c>
      <c r="AC32" s="5">
        <f t="shared" si="5"/>
        <v>0</v>
      </c>
      <c r="AD32" s="5">
        <f t="shared" si="6"/>
        <v>0</v>
      </c>
      <c r="BE32" s="26"/>
    </row>
    <row r="33" spans="1:57">
      <c r="H33" s="1"/>
      <c r="I33" s="34" t="s">
        <v>16</v>
      </c>
      <c r="J33" s="35"/>
      <c r="K33" s="36"/>
      <c r="L33" s="24"/>
      <c r="O33" s="23"/>
      <c r="U33" s="23"/>
      <c r="BE33" s="26"/>
    </row>
    <row r="34" spans="1:57">
      <c r="H34" s="1"/>
      <c r="I34" s="31" t="str">
        <f>G32 &amp; ", " &amp; K31 &amp; ", " &amp; K30 &amp; ", " &amp; K29</f>
        <v>0, 0x00, 0x00, 0x00</v>
      </c>
      <c r="J34" s="32"/>
      <c r="K34" s="33"/>
      <c r="L34" s="24"/>
      <c r="O34" s="23"/>
      <c r="U34" s="23"/>
    </row>
    <row r="35" spans="1:57">
      <c r="F35" s="1"/>
      <c r="O35" s="23"/>
      <c r="S35" s="1"/>
      <c r="U35" s="23"/>
      <c r="AC35" s="1"/>
    </row>
    <row r="36" spans="1:57">
      <c r="A36" s="21" t="s">
        <v>4</v>
      </c>
      <c r="C36" s="6">
        <f>P15</f>
        <v>0</v>
      </c>
      <c r="D36" s="6">
        <f>Q15</f>
        <v>0</v>
      </c>
      <c r="E36" s="6">
        <f>R15</f>
        <v>0</v>
      </c>
      <c r="F36" s="6">
        <f>S15</f>
        <v>0</v>
      </c>
      <c r="G36" s="6">
        <f>T15</f>
        <v>0</v>
      </c>
      <c r="I36" s="14" t="s">
        <v>3</v>
      </c>
      <c r="J36" s="14" t="s">
        <v>0</v>
      </c>
      <c r="K36" s="14" t="s">
        <v>1</v>
      </c>
      <c r="N36" t="s">
        <v>9</v>
      </c>
      <c r="O36" s="23"/>
      <c r="P36" s="5"/>
      <c r="Q36" s="5"/>
      <c r="R36" s="5"/>
      <c r="S36" s="5"/>
      <c r="T36" s="5"/>
      <c r="U36" s="23"/>
      <c r="X36" t="s">
        <v>9</v>
      </c>
      <c r="Z36" s="5">
        <f>Q12</f>
        <v>0</v>
      </c>
      <c r="AA36" s="5">
        <f>Q20</f>
        <v>0</v>
      </c>
      <c r="AB36" s="5">
        <f>Q28</f>
        <v>0</v>
      </c>
      <c r="AC36" s="5">
        <f>Q36</f>
        <v>0</v>
      </c>
      <c r="AD36" s="5">
        <f>Q44</f>
        <v>0</v>
      </c>
    </row>
    <row r="37" spans="1:57">
      <c r="C37" s="6">
        <f>P23</f>
        <v>0</v>
      </c>
      <c r="D37" s="6">
        <f>Q23</f>
        <v>0</v>
      </c>
      <c r="E37" s="6">
        <f>R23</f>
        <v>0</v>
      </c>
      <c r="F37" s="17">
        <f>S23</f>
        <v>0</v>
      </c>
      <c r="G37" s="17">
        <f>T23</f>
        <v>0</v>
      </c>
      <c r="H37" s="1"/>
      <c r="I37" s="13">
        <v>3</v>
      </c>
      <c r="J37" s="9">
        <f>E37*2^$E$5 + D37*2^$D$5 + C37*2^$C$5 + C36*2^$C$4 + D36*2^$D$4 + E36*2^$E$4 + F36*2^$F$4 + G36*2^$G$4</f>
        <v>0</v>
      </c>
      <c r="K37" s="3" t="str">
        <f>"0x" &amp; IF(LEN(makehex(J37))=2,makehex(J37),"0" &amp; makehex(J37))</f>
        <v>0x00</v>
      </c>
      <c r="O37" s="23"/>
      <c r="P37" s="5"/>
      <c r="Q37" s="5"/>
      <c r="R37" s="5"/>
      <c r="S37" s="5"/>
      <c r="T37" s="5"/>
      <c r="U37" s="23"/>
      <c r="Z37" s="5">
        <f>Q13</f>
        <v>0</v>
      </c>
      <c r="AA37" s="5">
        <f>Q21</f>
        <v>0</v>
      </c>
      <c r="AB37" s="5">
        <f>Q29</f>
        <v>0</v>
      </c>
      <c r="AC37" s="5">
        <f t="shared" ref="AC37:AC40" si="7">Q37</f>
        <v>0</v>
      </c>
      <c r="AD37" s="5">
        <f t="shared" ref="AD37:AD40" si="8">Q45</f>
        <v>0</v>
      </c>
    </row>
    <row r="38" spans="1:57">
      <c r="C38" s="2">
        <f>P31</f>
        <v>0</v>
      </c>
      <c r="D38" s="2">
        <f>Q31</f>
        <v>0</v>
      </c>
      <c r="E38" s="2">
        <f>R31</f>
        <v>0</v>
      </c>
      <c r="F38" s="2">
        <f>S31</f>
        <v>0</v>
      </c>
      <c r="G38" s="2">
        <f>T31</f>
        <v>0</v>
      </c>
      <c r="H38" s="1"/>
      <c r="I38" s="8">
        <v>2</v>
      </c>
      <c r="J38" s="8">
        <f>C39*2^$C$7 + C38*2^$C$6 + D38*2^$D$6 + E38*2^$E$6 + F38*2^$F$6 + G38*2^$G$6 + G37*2^$G$5 + F37*2^F29</f>
        <v>0</v>
      </c>
      <c r="K38" s="3" t="str">
        <f>"0x" &amp; IF(LEN(makehex(J38))=2,makehex(J38),"0" &amp; makehex(J38))</f>
        <v>0x00</v>
      </c>
      <c r="O38" s="23"/>
      <c r="P38" s="5"/>
      <c r="Q38" s="5"/>
      <c r="R38" s="5"/>
      <c r="S38" s="5"/>
      <c r="T38" s="5"/>
      <c r="U38" s="23"/>
      <c r="Z38" s="5">
        <f>Q14</f>
        <v>0</v>
      </c>
      <c r="AA38" s="5">
        <f>Q22</f>
        <v>0</v>
      </c>
      <c r="AB38" s="5">
        <f>Q30</f>
        <v>0</v>
      </c>
      <c r="AC38" s="5">
        <f t="shared" si="7"/>
        <v>0</v>
      </c>
      <c r="AD38" s="5">
        <f t="shared" si="8"/>
        <v>0</v>
      </c>
    </row>
    <row r="39" spans="1:57">
      <c r="C39" s="2">
        <f>P39</f>
        <v>0</v>
      </c>
      <c r="D39" s="4">
        <f>Q39</f>
        <v>0</v>
      </c>
      <c r="E39" s="4">
        <f>R39</f>
        <v>0</v>
      </c>
      <c r="F39" s="4">
        <f>S39</f>
        <v>0</v>
      </c>
      <c r="G39" s="4">
        <f>T39</f>
        <v>0</v>
      </c>
      <c r="H39" s="1"/>
      <c r="I39" s="7">
        <v>1</v>
      </c>
      <c r="J39" s="7">
        <f>F40*2^$F$8 + E40*2^$E$8 + D40*2^$D$8 + C40*2^$C$8 + G39*2^$G$7 + F39*2^$F$7 + E39*2^$E$7 + D39*2^$D$7</f>
        <v>0</v>
      </c>
      <c r="K39" s="3" t="str">
        <f>"0x" &amp; IF(LEN(makehex(J39))=2,makehex(J39),"0" &amp; makehex(J39))</f>
        <v>0x00</v>
      </c>
      <c r="O39" s="23"/>
      <c r="P39" s="5"/>
      <c r="Q39" s="5"/>
      <c r="R39" s="5"/>
      <c r="S39" s="5"/>
      <c r="T39" s="5"/>
      <c r="U39" s="23"/>
      <c r="Z39" s="5">
        <f>Q15</f>
        <v>0</v>
      </c>
      <c r="AA39" s="5">
        <f>Q23</f>
        <v>0</v>
      </c>
      <c r="AB39" s="5">
        <f>Q31</f>
        <v>0</v>
      </c>
      <c r="AC39" s="5">
        <f t="shared" si="7"/>
        <v>0</v>
      </c>
      <c r="AD39" s="5">
        <f t="shared" si="8"/>
        <v>0</v>
      </c>
    </row>
    <row r="40" spans="1:57">
      <c r="C40" s="4">
        <f>P47</f>
        <v>0</v>
      </c>
      <c r="D40" s="4">
        <f>Q47</f>
        <v>0</v>
      </c>
      <c r="E40" s="4">
        <f>R47</f>
        <v>0</v>
      </c>
      <c r="F40" s="4">
        <f>S47</f>
        <v>0</v>
      </c>
      <c r="G40" s="5">
        <f>T47</f>
        <v>0</v>
      </c>
      <c r="H40" s="1"/>
      <c r="O40" s="23"/>
      <c r="P40" s="5"/>
      <c r="Q40" s="5"/>
      <c r="R40" s="5"/>
      <c r="S40" s="5"/>
      <c r="T40" s="5"/>
      <c r="U40" s="23"/>
      <c r="Z40" s="5">
        <f>Q16</f>
        <v>0</v>
      </c>
      <c r="AA40" s="5">
        <f>Q24</f>
        <v>0</v>
      </c>
      <c r="AB40" s="5">
        <f>Q32</f>
        <v>0</v>
      </c>
      <c r="AC40" s="5">
        <f t="shared" si="7"/>
        <v>0</v>
      </c>
      <c r="AD40" s="5">
        <f t="shared" si="8"/>
        <v>0</v>
      </c>
    </row>
    <row r="41" spans="1:57">
      <c r="H41" s="1"/>
      <c r="I41" s="34" t="s">
        <v>16</v>
      </c>
      <c r="J41" s="35"/>
      <c r="K41" s="36"/>
      <c r="L41" s="24"/>
      <c r="O41" s="23"/>
      <c r="U41" s="23"/>
    </row>
    <row r="42" spans="1:57">
      <c r="H42" s="1"/>
      <c r="I42" s="31" t="str">
        <f>G40 &amp; ", " &amp; K39 &amp; ", " &amp; K38 &amp; ", " &amp; K37</f>
        <v>0, 0x00, 0x00, 0x00</v>
      </c>
      <c r="J42" s="32"/>
      <c r="K42" s="33"/>
      <c r="L42" s="24"/>
      <c r="O42" s="23"/>
      <c r="U42" s="23"/>
    </row>
    <row r="43" spans="1:57">
      <c r="F43" s="1"/>
      <c r="O43" s="23"/>
      <c r="S43" s="1"/>
      <c r="U43" s="23"/>
      <c r="AC43" s="1"/>
    </row>
    <row r="44" spans="1:57">
      <c r="A44" t="s">
        <v>2</v>
      </c>
      <c r="C44" s="6">
        <f>P16</f>
        <v>0</v>
      </c>
      <c r="D44" s="6">
        <f>Q16</f>
        <v>0</v>
      </c>
      <c r="E44" s="6">
        <f>R16</f>
        <v>0</v>
      </c>
      <c r="F44" s="6">
        <f>S16</f>
        <v>0</v>
      </c>
      <c r="G44" s="6">
        <f>T16</f>
        <v>0</v>
      </c>
      <c r="I44" s="14" t="s">
        <v>3</v>
      </c>
      <c r="J44" s="14" t="s">
        <v>0</v>
      </c>
      <c r="K44" s="14" t="s">
        <v>1</v>
      </c>
      <c r="N44" t="s">
        <v>8</v>
      </c>
      <c r="O44" s="23"/>
      <c r="P44" s="5"/>
      <c r="Q44" s="5"/>
      <c r="R44" s="5"/>
      <c r="S44" s="5"/>
      <c r="T44" s="5"/>
      <c r="U44" s="23"/>
      <c r="V44" s="38" t="s">
        <v>22</v>
      </c>
      <c r="W44" s="30"/>
      <c r="X44" t="s">
        <v>8</v>
      </c>
      <c r="Z44" s="5">
        <f>P12</f>
        <v>0</v>
      </c>
      <c r="AA44" s="5">
        <f>P20</f>
        <v>0</v>
      </c>
      <c r="AB44" s="5">
        <f>P28</f>
        <v>0</v>
      </c>
      <c r="AC44" s="5">
        <f>P36</f>
        <v>0</v>
      </c>
      <c r="AD44" s="5">
        <f>P44</f>
        <v>0</v>
      </c>
    </row>
    <row r="45" spans="1:57">
      <c r="C45" s="6">
        <f>P24</f>
        <v>0</v>
      </c>
      <c r="D45" s="6">
        <f>Q24</f>
        <v>0</v>
      </c>
      <c r="E45" s="6">
        <f>R24</f>
        <v>0</v>
      </c>
      <c r="F45" s="17">
        <f>S24</f>
        <v>0</v>
      </c>
      <c r="G45" s="17">
        <f>T24</f>
        <v>0</v>
      </c>
      <c r="H45" s="1"/>
      <c r="I45" s="13">
        <v>3</v>
      </c>
      <c r="J45" s="9">
        <f>E45*2^$E$5 + D45*2^$D$5 + C45*2^$C$5 + C44*2^$C$4 + D44*2^$D$4 + E44*2^$E$4 + F44*2^$F$4 + G44*2^$G$4</f>
        <v>0</v>
      </c>
      <c r="K45" s="3" t="str">
        <f>"0x" &amp; IF(LEN(makehex(J45))=2,makehex(J45),"0" &amp; makehex(J45))</f>
        <v>0x00</v>
      </c>
      <c r="O45" s="23"/>
      <c r="P45" s="5"/>
      <c r="Q45" s="5"/>
      <c r="R45" s="5"/>
      <c r="S45" s="5"/>
      <c r="T45" s="5"/>
      <c r="U45" s="23"/>
      <c r="V45" s="38"/>
      <c r="W45" s="30"/>
      <c r="Z45" s="5">
        <f>P13</f>
        <v>0</v>
      </c>
      <c r="AA45" s="5">
        <f>P21</f>
        <v>0</v>
      </c>
      <c r="AB45" s="5">
        <f>P29</f>
        <v>0</v>
      </c>
      <c r="AC45" s="5">
        <f>P37</f>
        <v>0</v>
      </c>
      <c r="AD45" s="5">
        <f t="shared" ref="AD45:AD48" si="9">P45</f>
        <v>0</v>
      </c>
    </row>
    <row r="46" spans="1:57">
      <c r="C46" s="2">
        <f>P32</f>
        <v>0</v>
      </c>
      <c r="D46" s="2">
        <f>Q32</f>
        <v>0</v>
      </c>
      <c r="E46" s="2">
        <f>R32</f>
        <v>0</v>
      </c>
      <c r="F46" s="2">
        <f>S32</f>
        <v>0</v>
      </c>
      <c r="G46" s="2">
        <f>T32</f>
        <v>0</v>
      </c>
      <c r="H46" s="1"/>
      <c r="I46" s="8">
        <v>2</v>
      </c>
      <c r="J46" s="8">
        <f>C47*2^$C$7 + C46*2^$C$6 + D46*2^$D$6 + E46*2^$E$6 + F46*2^$F$6 + G46*2^$G$6 + G45*2^$G$5 + F45*2^F37</f>
        <v>0</v>
      </c>
      <c r="K46" s="3" t="str">
        <f>"0x" &amp; IF(LEN(makehex(J46))=2,makehex(J46),"0" &amp; makehex(J46))</f>
        <v>0x00</v>
      </c>
      <c r="O46" s="23"/>
      <c r="P46" s="5"/>
      <c r="Q46" s="5"/>
      <c r="R46" s="5"/>
      <c r="S46" s="5"/>
      <c r="T46" s="5"/>
      <c r="U46" s="23"/>
      <c r="V46" s="38"/>
      <c r="W46" s="30"/>
      <c r="Z46" s="5">
        <f>P14</f>
        <v>0</v>
      </c>
      <c r="AA46" s="5">
        <f>P22</f>
        <v>0</v>
      </c>
      <c r="AB46" s="5">
        <f>P30</f>
        <v>0</v>
      </c>
      <c r="AC46" s="5">
        <f>P38</f>
        <v>0</v>
      </c>
      <c r="AD46" s="5">
        <f t="shared" si="9"/>
        <v>0</v>
      </c>
    </row>
    <row r="47" spans="1:57">
      <c r="C47" s="17">
        <f>P40</f>
        <v>0</v>
      </c>
      <c r="D47" s="16">
        <f>Q40</f>
        <v>0</v>
      </c>
      <c r="E47" s="16">
        <f>R40</f>
        <v>0</v>
      </c>
      <c r="F47" s="16">
        <f>S40</f>
        <v>0</v>
      </c>
      <c r="G47" s="4">
        <f>T40</f>
        <v>0</v>
      </c>
      <c r="H47" s="1"/>
      <c r="I47" s="7">
        <v>1</v>
      </c>
      <c r="J47" s="7">
        <f>F48*2^$F$8 + E48*2^$E$8 + D48*2^$D$8 + C48*2^$C$8 + G47*2^$G$7 + F47*2^$F$7 + E47*2^$E$7 + D47*2^$D$7</f>
        <v>0</v>
      </c>
      <c r="K47" s="3" t="str">
        <f>"0x" &amp; IF(LEN(makehex(J47))=2,makehex(J47),"0" &amp; makehex(J47))</f>
        <v>0x00</v>
      </c>
      <c r="O47" s="23"/>
      <c r="P47" s="5"/>
      <c r="Q47" s="5"/>
      <c r="R47" s="5"/>
      <c r="S47" s="5"/>
      <c r="T47" s="5"/>
      <c r="U47" s="23"/>
      <c r="V47" s="38"/>
      <c r="W47" s="30"/>
      <c r="Z47" s="5">
        <f>P15</f>
        <v>0</v>
      </c>
      <c r="AA47" s="5">
        <f>P23</f>
        <v>0</v>
      </c>
      <c r="AB47" s="5">
        <f>P31</f>
        <v>0</v>
      </c>
      <c r="AC47" s="5">
        <f>P39</f>
        <v>0</v>
      </c>
      <c r="AD47" s="5">
        <f t="shared" si="9"/>
        <v>0</v>
      </c>
    </row>
    <row r="48" spans="1:57">
      <c r="C48" s="4">
        <f>P48</f>
        <v>0</v>
      </c>
      <c r="D48" s="4">
        <f>Q48</f>
        <v>0</v>
      </c>
      <c r="E48" s="4">
        <f>R48</f>
        <v>0</v>
      </c>
      <c r="F48" s="4">
        <f>S48</f>
        <v>0</v>
      </c>
      <c r="G48" s="5">
        <f>T48</f>
        <v>0</v>
      </c>
      <c r="H48" s="1"/>
      <c r="O48" s="23"/>
      <c r="P48" s="5"/>
      <c r="Q48" s="5"/>
      <c r="R48" s="5"/>
      <c r="S48" s="5"/>
      <c r="T48" s="5"/>
      <c r="U48" s="23"/>
      <c r="V48" s="38"/>
      <c r="W48" s="30"/>
      <c r="Z48" s="5">
        <f>P16</f>
        <v>0</v>
      </c>
      <c r="AA48" s="5">
        <f>P24</f>
        <v>0</v>
      </c>
      <c r="AB48" s="5">
        <f>P32</f>
        <v>0</v>
      </c>
      <c r="AC48" s="5">
        <f>P40</f>
        <v>0</v>
      </c>
      <c r="AD48" s="5">
        <f t="shared" si="9"/>
        <v>0</v>
      </c>
    </row>
    <row r="49" spans="8:21">
      <c r="H49" s="1"/>
      <c r="I49" s="34" t="s">
        <v>16</v>
      </c>
      <c r="J49" s="35"/>
      <c r="K49" s="36"/>
      <c r="L49" s="24"/>
      <c r="O49" s="23"/>
      <c r="P49" s="23"/>
      <c r="Q49" s="23"/>
      <c r="R49" s="23"/>
      <c r="S49" s="23"/>
      <c r="T49" s="23"/>
      <c r="U49" s="23"/>
    </row>
    <row r="50" spans="8:21">
      <c r="I50" s="31" t="str">
        <f>G48 &amp; ", " &amp; K47 &amp; ", " &amp; K46 &amp; ", " &amp; K45</f>
        <v>0, 0x00, 0x00, 0x00</v>
      </c>
      <c r="J50" s="32"/>
      <c r="K50" s="33"/>
      <c r="O50" s="37" t="s">
        <v>27</v>
      </c>
      <c r="P50" s="37"/>
      <c r="Q50" s="37"/>
      <c r="R50" s="37"/>
      <c r="S50" s="37"/>
      <c r="T50" s="37"/>
      <c r="U50" s="37"/>
    </row>
    <row r="51" spans="8:21">
      <c r="O51" s="37"/>
      <c r="P51" s="37"/>
      <c r="Q51" s="37"/>
      <c r="R51" s="37"/>
      <c r="S51" s="37"/>
      <c r="T51" s="37"/>
      <c r="U51" s="37"/>
    </row>
  </sheetData>
  <mergeCells count="23">
    <mergeCell ref="O50:U51"/>
    <mergeCell ref="V44:V48"/>
    <mergeCell ref="C1:T1"/>
    <mergeCell ref="AL12:AN12"/>
    <mergeCell ref="AL14:AN14"/>
    <mergeCell ref="AL17:AN17"/>
    <mergeCell ref="V12:V16"/>
    <mergeCell ref="V28:V32"/>
    <mergeCell ref="I26:K26"/>
    <mergeCell ref="I33:K33"/>
    <mergeCell ref="AG16:AK16"/>
    <mergeCell ref="AG17:AK17"/>
    <mergeCell ref="AF16:AF17"/>
    <mergeCell ref="AG12:AK12"/>
    <mergeCell ref="AG14:AK14"/>
    <mergeCell ref="I17:K17"/>
    <mergeCell ref="I50:K50"/>
    <mergeCell ref="I34:K34"/>
    <mergeCell ref="I18:K18"/>
    <mergeCell ref="I25:K25"/>
    <mergeCell ref="I41:K41"/>
    <mergeCell ref="I42:K42"/>
    <mergeCell ref="I49:K49"/>
  </mergeCells>
  <conditionalFormatting sqref="C12:G16">
    <cfRule type="cellIs" dxfId="14" priority="75" operator="equal">
      <formula>1</formula>
    </cfRule>
  </conditionalFormatting>
  <conditionalFormatting sqref="C28:G32">
    <cfRule type="cellIs" dxfId="13" priority="73" operator="equal">
      <formula>1</formula>
    </cfRule>
  </conditionalFormatting>
  <conditionalFormatting sqref="P12:T16">
    <cfRule type="cellIs" dxfId="12" priority="70" operator="equal">
      <formula>1</formula>
    </cfRule>
  </conditionalFormatting>
  <conditionalFormatting sqref="C20:G24">
    <cfRule type="cellIs" dxfId="11" priority="74" operator="equal">
      <formula>1</formula>
    </cfRule>
  </conditionalFormatting>
  <conditionalFormatting sqref="C36:G40">
    <cfRule type="cellIs" dxfId="10" priority="72" operator="equal">
      <formula>1</formula>
    </cfRule>
  </conditionalFormatting>
  <conditionalFormatting sqref="C44:G48">
    <cfRule type="cellIs" dxfId="9" priority="71" operator="equal">
      <formula>1</formula>
    </cfRule>
  </conditionalFormatting>
  <conditionalFormatting sqref="Z36:AD40">
    <cfRule type="cellIs" dxfId="8" priority="68" operator="equal">
      <formula>1</formula>
    </cfRule>
  </conditionalFormatting>
  <conditionalFormatting sqref="Z44:AD48">
    <cfRule type="cellIs" dxfId="7" priority="69" operator="equal">
      <formula>1</formula>
    </cfRule>
  </conditionalFormatting>
  <conditionalFormatting sqref="Z28:AD32">
    <cfRule type="cellIs" dxfId="6" priority="67" operator="equal">
      <formula>1</formula>
    </cfRule>
  </conditionalFormatting>
  <conditionalFormatting sqref="Z20:AD24">
    <cfRule type="cellIs" dxfId="5" priority="66" operator="equal">
      <formula>1</formula>
    </cfRule>
  </conditionalFormatting>
  <conditionalFormatting sqref="Z12:AD16">
    <cfRule type="cellIs" dxfId="4" priority="65" operator="equal">
      <formula>1</formula>
    </cfRule>
  </conditionalFormatting>
  <conditionalFormatting sqref="P20:T24">
    <cfRule type="cellIs" dxfId="3" priority="64" operator="equal">
      <formula>1</formula>
    </cfRule>
  </conditionalFormatting>
  <conditionalFormatting sqref="P28:T32">
    <cfRule type="cellIs" dxfId="2" priority="63" operator="equal">
      <formula>1</formula>
    </cfRule>
  </conditionalFormatting>
  <conditionalFormatting sqref="P36:T40">
    <cfRule type="cellIs" dxfId="1" priority="62" operator="equal">
      <formula>1</formula>
    </cfRule>
  </conditionalFormatting>
  <conditionalFormatting sqref="P44:T48">
    <cfRule type="cellIs" dxfId="0" priority="61" operator="equal">
      <formula>1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Mã SauTruoc - Quay - TruocSau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2018-01-20T17:49:05Z</dcterms:modified>
</cp:coreProperties>
</file>